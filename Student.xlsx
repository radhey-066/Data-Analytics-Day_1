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743626db35b3ef/Documents/"/>
    </mc:Choice>
  </mc:AlternateContent>
  <xr:revisionPtr revIDLastSave="11" documentId="8_{5EF48378-679C-46C1-B35D-062E3B4AC66E}" xr6:coauthVersionLast="47" xr6:coauthVersionMax="47" xr10:uidLastSave="{6B7C5541-4E64-45D2-AAE4-9387A7160DD6}"/>
  <bookViews>
    <workbookView xWindow="-108" yWindow="-108" windowWidth="23256" windowHeight="12456" xr2:uid="{3D3417DD-CADE-431D-87FD-E726D0FB9D6F}"/>
  </bookViews>
  <sheets>
    <sheet name="Sheet1" sheetId="1" r:id="rId1"/>
    <sheet name="Student" sheetId="2" r:id="rId2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B17" i="2"/>
  <c r="B18" i="2"/>
  <c r="B19" i="2"/>
  <c r="B15" i="2"/>
  <c r="J6" i="2"/>
  <c r="J5" i="2"/>
  <c r="J4" i="2"/>
  <c r="J3" i="2"/>
  <c r="J2" i="2"/>
  <c r="M6" i="1"/>
  <c r="J7" i="1"/>
  <c r="I26" i="1"/>
  <c r="I18" i="1"/>
  <c r="I19" i="1"/>
  <c r="I20" i="1"/>
  <c r="I21" i="1"/>
  <c r="I22" i="1"/>
  <c r="I23" i="1"/>
  <c r="I24" i="1"/>
  <c r="I25" i="1"/>
  <c r="I17" i="1"/>
  <c r="D22" i="1"/>
  <c r="D21" i="1"/>
  <c r="D20" i="1"/>
  <c r="D19" i="1"/>
  <c r="D18" i="1"/>
  <c r="C16" i="2" l="1"/>
  <c r="C15" i="2"/>
  <c r="C17" i="2"/>
  <c r="C18" i="2"/>
  <c r="C19" i="2"/>
  <c r="J18" i="1"/>
  <c r="J19" i="1"/>
  <c r="J20" i="1"/>
  <c r="J23" i="1"/>
  <c r="J21" i="1"/>
  <c r="J22" i="1"/>
  <c r="J24" i="1"/>
  <c r="J25" i="1"/>
  <c r="J26" i="1"/>
  <c r="J17" i="1"/>
</calcChain>
</file>

<file path=xl/sharedStrings.xml><?xml version="1.0" encoding="utf-8"?>
<sst xmlns="http://schemas.openxmlformats.org/spreadsheetml/2006/main" count="77" uniqueCount="37">
  <si>
    <t>Student ID</t>
  </si>
  <si>
    <t>Student Name</t>
  </si>
  <si>
    <t>Course</t>
  </si>
  <si>
    <t>Fees</t>
  </si>
  <si>
    <t>Discount %</t>
  </si>
  <si>
    <t>Neetu</t>
  </si>
  <si>
    <t>Data Analytics</t>
  </si>
  <si>
    <t>Rahul</t>
  </si>
  <si>
    <t>Python</t>
  </si>
  <si>
    <t>Priya</t>
  </si>
  <si>
    <t>Java</t>
  </si>
  <si>
    <t>Aman</t>
  </si>
  <si>
    <t>MERN</t>
  </si>
  <si>
    <t>Riya</t>
  </si>
  <si>
    <t>Mohit</t>
  </si>
  <si>
    <t>Sneha</t>
  </si>
  <si>
    <t>Arjun</t>
  </si>
  <si>
    <t>Pooja</t>
  </si>
  <si>
    <t>Vivek</t>
  </si>
  <si>
    <t>Date</t>
  </si>
  <si>
    <t>Formula</t>
  </si>
  <si>
    <t>Sum</t>
  </si>
  <si>
    <t>Avg</t>
  </si>
  <si>
    <t>Count</t>
  </si>
  <si>
    <t>Max</t>
  </si>
  <si>
    <t>Min</t>
  </si>
  <si>
    <t>Result</t>
  </si>
  <si>
    <t>Discount</t>
  </si>
  <si>
    <t>D.Value</t>
  </si>
  <si>
    <t>Net Value</t>
  </si>
  <si>
    <t>S.Name</t>
  </si>
  <si>
    <t>Branch</t>
  </si>
  <si>
    <t>S.Fee</t>
  </si>
  <si>
    <t>B.Tech(CSE)</t>
  </si>
  <si>
    <t>Data Science</t>
  </si>
  <si>
    <t>Net Discount</t>
  </si>
  <si>
    <t>T.Fee after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</si>
</sst>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₹&quot;\ #,##0.00"/>
    <numFmt numFmtId="168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B0F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2" xfId="0" applyFill="1" applyBorder="1"/>
    <xf numFmtId="14" fontId="0" fillId="2" borderId="0" xfId="0" applyNumberFormat="1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Font="1" applyBorder="1"/>
    <xf numFmtId="167" fontId="0" fillId="0" borderId="5" xfId="0" applyNumberFormat="1" applyFont="1" applyBorder="1"/>
    <xf numFmtId="49" fontId="0" fillId="0" borderId="0" xfId="0" applyNumberFormat="1"/>
    <xf numFmtId="0" fontId="0" fillId="0" borderId="6" xfId="0" applyBorder="1"/>
    <xf numFmtId="0" fontId="0" fillId="0" borderId="6" xfId="0" applyFont="1" applyBorder="1"/>
    <xf numFmtId="167" fontId="0" fillId="0" borderId="6" xfId="0" applyNumberFormat="1" applyBorder="1"/>
    <xf numFmtId="168" fontId="0" fillId="0" borderId="6" xfId="0" applyNumberFormat="1" applyBorder="1"/>
    <xf numFmtId="0" fontId="1" fillId="2" borderId="6" xfId="0" applyFont="1" applyFill="1" applyBorder="1"/>
    <xf numFmtId="0" fontId="1" fillId="0" borderId="0" xfId="0" applyFont="1"/>
    <xf numFmtId="2" fontId="0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C838-FE1B-4F35-B0BE-259D873ED126}">
  <dimension ref="A1:M26"/>
  <sheetViews>
    <sheetView tabSelected="1" topLeftCell="A2" zoomScale="99" zoomScaleNormal="120" workbookViewId="0">
      <selection activeCell="B11" sqref="B8:B11"/>
    </sheetView>
  </sheetViews>
  <sheetFormatPr defaultRowHeight="14.4" x14ac:dyDescent="0.3"/>
  <cols>
    <col min="1" max="1" width="9.44140625" bestFit="1" customWidth="1"/>
    <col min="2" max="3" width="12.5546875" bestFit="1" customWidth="1"/>
    <col min="4" max="4" width="11.88671875" customWidth="1"/>
    <col min="5" max="5" width="10" bestFit="1" customWidth="1"/>
    <col min="6" max="6" width="10.33203125" bestFit="1" customWidth="1"/>
    <col min="7" max="7" width="13.21875" bestFit="1" customWidth="1"/>
    <col min="8" max="8" width="8.109375" bestFit="1" customWidth="1"/>
  </cols>
  <sheetData>
    <row r="1" spans="1:13" s="1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/>
      <c r="G1" s="5"/>
    </row>
    <row r="2" spans="1:13" x14ac:dyDescent="0.3">
      <c r="A2" s="8">
        <v>101</v>
      </c>
      <c r="B2" s="8" t="s">
        <v>5</v>
      </c>
      <c r="C2" s="8" t="s">
        <v>6</v>
      </c>
      <c r="D2" s="9">
        <v>25000</v>
      </c>
      <c r="E2" s="8">
        <v>10</v>
      </c>
    </row>
    <row r="3" spans="1:13" x14ac:dyDescent="0.3">
      <c r="A3" s="8">
        <v>102</v>
      </c>
      <c r="B3" s="8" t="s">
        <v>7</v>
      </c>
      <c r="C3" s="8" t="s">
        <v>8</v>
      </c>
      <c r="D3" s="9">
        <v>22000</v>
      </c>
      <c r="E3" s="8">
        <v>5</v>
      </c>
    </row>
    <row r="4" spans="1:13" x14ac:dyDescent="0.3">
      <c r="A4" s="8">
        <v>103</v>
      </c>
      <c r="B4" s="8" t="s">
        <v>9</v>
      </c>
      <c r="C4" s="8" t="s">
        <v>10</v>
      </c>
      <c r="D4" s="9">
        <v>21000</v>
      </c>
      <c r="E4" s="8">
        <v>8</v>
      </c>
    </row>
    <row r="5" spans="1:13" x14ac:dyDescent="0.3">
      <c r="A5" s="8">
        <v>104</v>
      </c>
      <c r="B5" s="8" t="s">
        <v>11</v>
      </c>
      <c r="C5" s="8" t="s">
        <v>12</v>
      </c>
      <c r="D5" s="9">
        <v>28000</v>
      </c>
      <c r="E5" s="8">
        <v>12</v>
      </c>
    </row>
    <row r="6" spans="1:13" x14ac:dyDescent="0.3">
      <c r="A6" s="8">
        <v>105</v>
      </c>
      <c r="B6" s="8" t="s">
        <v>13</v>
      </c>
      <c r="C6" s="8" t="s">
        <v>6</v>
      </c>
      <c r="D6" s="9">
        <v>25000</v>
      </c>
      <c r="E6" s="8">
        <v>10</v>
      </c>
      <c r="K6" s="10"/>
      <c r="M6">
        <f>14*45</f>
        <v>630</v>
      </c>
    </row>
    <row r="7" spans="1:13" x14ac:dyDescent="0.3">
      <c r="A7" s="8">
        <v>106</v>
      </c>
      <c r="B7" s="8" t="s">
        <v>14</v>
      </c>
      <c r="C7" s="8" t="s">
        <v>8</v>
      </c>
      <c r="D7" s="9">
        <v>24000</v>
      </c>
      <c r="E7" s="8">
        <v>7</v>
      </c>
      <c r="H7" s="7"/>
      <c r="J7">
        <f>-2+(-2-5-7+10)-2</f>
        <v>-8</v>
      </c>
    </row>
    <row r="8" spans="1:13" x14ac:dyDescent="0.3">
      <c r="A8" s="8">
        <v>107</v>
      </c>
      <c r="B8" s="8" t="s">
        <v>15</v>
      </c>
      <c r="C8" s="8" t="s">
        <v>10</v>
      </c>
      <c r="D8" s="9">
        <v>21500</v>
      </c>
      <c r="E8" s="8">
        <v>6</v>
      </c>
    </row>
    <row r="9" spans="1:13" x14ac:dyDescent="0.3">
      <c r="A9" s="8">
        <v>108</v>
      </c>
      <c r="B9" s="8" t="s">
        <v>16</v>
      </c>
      <c r="C9" s="8" t="s">
        <v>12</v>
      </c>
      <c r="D9" s="9">
        <v>30000</v>
      </c>
      <c r="E9" s="8">
        <v>15</v>
      </c>
    </row>
    <row r="10" spans="1:13" x14ac:dyDescent="0.3">
      <c r="A10" s="8">
        <v>109</v>
      </c>
      <c r="B10" s="8" t="s">
        <v>17</v>
      </c>
      <c r="C10" s="8" t="s">
        <v>6</v>
      </c>
      <c r="D10" s="9">
        <v>26000</v>
      </c>
      <c r="E10" s="8">
        <v>10</v>
      </c>
    </row>
    <row r="11" spans="1:13" x14ac:dyDescent="0.3">
      <c r="A11" s="8">
        <v>110</v>
      </c>
      <c r="B11" s="8" t="s">
        <v>18</v>
      </c>
      <c r="C11" s="8" t="s">
        <v>8</v>
      </c>
      <c r="D11" s="9">
        <v>23000</v>
      </c>
      <c r="E11" s="8">
        <v>5</v>
      </c>
    </row>
    <row r="12" spans="1:13" x14ac:dyDescent="0.3">
      <c r="C12" s="4"/>
    </row>
    <row r="16" spans="1:13" x14ac:dyDescent="0.3">
      <c r="I16" s="2" t="s">
        <v>28</v>
      </c>
      <c r="J16" s="2" t="s">
        <v>29</v>
      </c>
    </row>
    <row r="17" spans="3:10" x14ac:dyDescent="0.3">
      <c r="C17" s="2" t="s">
        <v>20</v>
      </c>
      <c r="D17" s="2" t="s">
        <v>26</v>
      </c>
      <c r="I17" s="3">
        <f>D2*E2/100</f>
        <v>2500</v>
      </c>
      <c r="J17" s="3">
        <f>D2-I17</f>
        <v>22500</v>
      </c>
    </row>
    <row r="18" spans="3:10" x14ac:dyDescent="0.3">
      <c r="C18" s="3" t="s">
        <v>21</v>
      </c>
      <c r="D18" s="3">
        <f>SUM(D2:D11)</f>
        <v>245500</v>
      </c>
      <c r="I18" s="3">
        <f t="shared" ref="I18:I25" si="0">D3*E3/100</f>
        <v>1100</v>
      </c>
      <c r="J18" s="3">
        <f t="shared" ref="J18:J26" si="1">D3-I18</f>
        <v>20900</v>
      </c>
    </row>
    <row r="19" spans="3:10" x14ac:dyDescent="0.3">
      <c r="C19" s="3" t="s">
        <v>22</v>
      </c>
      <c r="D19" s="3">
        <f>AVERAGE(D2:D11)</f>
        <v>24550</v>
      </c>
      <c r="I19" s="3">
        <f t="shared" si="0"/>
        <v>1680</v>
      </c>
      <c r="J19" s="3">
        <f t="shared" si="1"/>
        <v>19320</v>
      </c>
    </row>
    <row r="20" spans="3:10" x14ac:dyDescent="0.3">
      <c r="C20" s="3" t="s">
        <v>23</v>
      </c>
      <c r="D20" s="3">
        <f>COUNT(D2:D17)</f>
        <v>10</v>
      </c>
      <c r="I20" s="3">
        <f t="shared" si="0"/>
        <v>3360</v>
      </c>
      <c r="J20" s="3">
        <f t="shared" si="1"/>
        <v>24640</v>
      </c>
    </row>
    <row r="21" spans="3:10" x14ac:dyDescent="0.3">
      <c r="C21" s="3" t="s">
        <v>24</v>
      </c>
      <c r="D21" s="3">
        <f>MAX(D2:D11)</f>
        <v>30000</v>
      </c>
      <c r="I21" s="3">
        <f t="shared" si="0"/>
        <v>2500</v>
      </c>
      <c r="J21" s="3">
        <f t="shared" si="1"/>
        <v>22500</v>
      </c>
    </row>
    <row r="22" spans="3:10" x14ac:dyDescent="0.3">
      <c r="C22" s="3" t="s">
        <v>25</v>
      </c>
      <c r="D22" s="3">
        <f>MIN(D2:D17)</f>
        <v>21000</v>
      </c>
      <c r="I22" s="3">
        <f t="shared" si="0"/>
        <v>1680</v>
      </c>
      <c r="J22" s="3">
        <f t="shared" si="1"/>
        <v>22320</v>
      </c>
    </row>
    <row r="23" spans="3:10" x14ac:dyDescent="0.3">
      <c r="I23" s="3">
        <f t="shared" si="0"/>
        <v>1290</v>
      </c>
      <c r="J23" s="3">
        <f t="shared" si="1"/>
        <v>20210</v>
      </c>
    </row>
    <row r="24" spans="3:10" x14ac:dyDescent="0.3">
      <c r="I24" s="3">
        <f t="shared" si="0"/>
        <v>4500</v>
      </c>
      <c r="J24" s="3">
        <f t="shared" si="1"/>
        <v>25500</v>
      </c>
    </row>
    <row r="25" spans="3:10" x14ac:dyDescent="0.3">
      <c r="I25" s="3">
        <f t="shared" si="0"/>
        <v>2600</v>
      </c>
      <c r="J25" s="3">
        <f t="shared" si="1"/>
        <v>23400</v>
      </c>
    </row>
    <row r="26" spans="3:10" x14ac:dyDescent="0.3">
      <c r="I26" s="3">
        <f>D11*E11/100</f>
        <v>1150</v>
      </c>
      <c r="J26" s="3">
        <f t="shared" si="1"/>
        <v>21850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A2A3-DCFE-45FD-B170-1DC4E4D58150}">
  <dimension ref="A1:J20"/>
  <sheetViews>
    <sheetView zoomScaleNormal="100" workbookViewId="0">
      <selection activeCell="S15" sqref="S15"/>
    </sheetView>
  </sheetViews>
  <sheetFormatPr defaultRowHeight="14.4" x14ac:dyDescent="0.3"/>
  <cols>
    <col min="1" max="1" width="9.44140625" bestFit="1" customWidth="1"/>
    <col min="2" max="2" width="11.77734375" bestFit="1" customWidth="1"/>
    <col min="3" max="3" width="17.77734375" bestFit="1" customWidth="1"/>
    <col min="4" max="4" width="11.44140625" bestFit="1" customWidth="1"/>
    <col min="5" max="5" width="10.44140625" bestFit="1" customWidth="1"/>
    <col min="6" max="6" width="11.5546875" bestFit="1" customWidth="1"/>
    <col min="10" max="10" width="12.5546875" bestFit="1" customWidth="1"/>
    <col min="11" max="11" width="9.44140625" bestFit="1" customWidth="1"/>
    <col min="12" max="12" width="10.44140625" bestFit="1" customWidth="1"/>
  </cols>
  <sheetData>
    <row r="1" spans="1:10" ht="19.2" customHeight="1" thickTop="1" thickBot="1" x14ac:dyDescent="0.35">
      <c r="A1" s="15" t="s">
        <v>0</v>
      </c>
      <c r="B1" s="15" t="s">
        <v>30</v>
      </c>
      <c r="C1" s="15" t="s">
        <v>2</v>
      </c>
      <c r="D1" s="15" t="s">
        <v>31</v>
      </c>
      <c r="E1" s="15" t="s">
        <v>32</v>
      </c>
      <c r="F1" s="15" t="s">
        <v>19</v>
      </c>
      <c r="G1" s="15" t="s">
        <v>27</v>
      </c>
      <c r="H1" s="16"/>
      <c r="I1" s="15" t="s">
        <v>20</v>
      </c>
      <c r="J1" s="15" t="s">
        <v>26</v>
      </c>
    </row>
    <row r="2" spans="1:10" ht="15.6" thickTop="1" thickBot="1" x14ac:dyDescent="0.35">
      <c r="A2" s="11">
        <v>101</v>
      </c>
      <c r="B2" s="12" t="s">
        <v>7</v>
      </c>
      <c r="C2" s="11" t="s">
        <v>33</v>
      </c>
      <c r="D2" s="11" t="s">
        <v>34</v>
      </c>
      <c r="E2" s="13">
        <v>86456</v>
      </c>
      <c r="F2" s="14">
        <v>46199</v>
      </c>
      <c r="G2" s="11">
        <v>10</v>
      </c>
      <c r="I2" s="11" t="s">
        <v>21</v>
      </c>
      <c r="J2" s="12">
        <f>SUM(E2:E10)</f>
        <v>660088</v>
      </c>
    </row>
    <row r="3" spans="1:10" ht="15.6" thickTop="1" thickBot="1" x14ac:dyDescent="0.35">
      <c r="A3" s="11">
        <v>101</v>
      </c>
      <c r="B3" s="12" t="s">
        <v>9</v>
      </c>
      <c r="C3" s="11" t="s">
        <v>33</v>
      </c>
      <c r="D3" s="11" t="s">
        <v>34</v>
      </c>
      <c r="E3" s="13">
        <v>70656</v>
      </c>
      <c r="F3" s="14">
        <v>46200</v>
      </c>
      <c r="G3" s="11">
        <v>6</v>
      </c>
      <c r="I3" s="11" t="s">
        <v>22</v>
      </c>
      <c r="J3" s="17">
        <f>AVERAGE(E2:E10)</f>
        <v>73343.111111111109</v>
      </c>
    </row>
    <row r="4" spans="1:10" ht="15.6" thickTop="1" thickBot="1" x14ac:dyDescent="0.35">
      <c r="A4" s="11">
        <v>101</v>
      </c>
      <c r="B4" s="12" t="s">
        <v>11</v>
      </c>
      <c r="C4" s="11" t="s">
        <v>33</v>
      </c>
      <c r="D4" s="11" t="s">
        <v>34</v>
      </c>
      <c r="E4" s="13">
        <v>85692</v>
      </c>
      <c r="F4" s="14">
        <v>46201</v>
      </c>
      <c r="G4" s="11">
        <v>4</v>
      </c>
      <c r="I4" s="11" t="s">
        <v>23</v>
      </c>
      <c r="J4" s="12">
        <f>COUNT(E2:E10)</f>
        <v>9</v>
      </c>
    </row>
    <row r="5" spans="1:10" ht="15.6" thickTop="1" thickBot="1" x14ac:dyDescent="0.35">
      <c r="A5" s="11">
        <v>101</v>
      </c>
      <c r="B5" s="12" t="s">
        <v>13</v>
      </c>
      <c r="C5" s="11" t="s">
        <v>33</v>
      </c>
      <c r="D5" s="11" t="s">
        <v>34</v>
      </c>
      <c r="E5" s="13">
        <v>54655</v>
      </c>
      <c r="F5" s="14">
        <v>46202</v>
      </c>
      <c r="G5" s="11">
        <v>5</v>
      </c>
      <c r="I5" s="11" t="s">
        <v>24</v>
      </c>
      <c r="J5" s="12">
        <f>MAX(E2:E10)</f>
        <v>95662</v>
      </c>
    </row>
    <row r="6" spans="1:10" ht="15.6" thickTop="1" thickBot="1" x14ac:dyDescent="0.35">
      <c r="A6" s="11">
        <v>101</v>
      </c>
      <c r="B6" s="12" t="s">
        <v>5</v>
      </c>
      <c r="C6" s="11" t="s">
        <v>33</v>
      </c>
      <c r="D6" s="11" t="s">
        <v>34</v>
      </c>
      <c r="E6" s="13">
        <v>65625</v>
      </c>
      <c r="F6" s="14">
        <v>46203</v>
      </c>
      <c r="G6" s="11">
        <v>9</v>
      </c>
      <c r="I6" s="11" t="s">
        <v>25</v>
      </c>
      <c r="J6" s="12">
        <f>MIN(E2:E10)</f>
        <v>21656</v>
      </c>
    </row>
    <row r="7" spans="1:10" ht="15.6" thickTop="1" thickBot="1" x14ac:dyDescent="0.35">
      <c r="A7" s="11">
        <v>101</v>
      </c>
      <c r="B7" s="12" t="s">
        <v>15</v>
      </c>
      <c r="C7" s="11" t="s">
        <v>33</v>
      </c>
      <c r="D7" s="11" t="s">
        <v>34</v>
      </c>
      <c r="E7" s="13">
        <v>95662</v>
      </c>
      <c r="F7" s="14">
        <v>46204</v>
      </c>
      <c r="G7" s="11">
        <v>8</v>
      </c>
    </row>
    <row r="8" spans="1:10" ht="15.6" thickTop="1" thickBot="1" x14ac:dyDescent="0.35">
      <c r="A8" s="11">
        <v>101</v>
      </c>
      <c r="B8" s="12" t="s">
        <v>16</v>
      </c>
      <c r="C8" s="11" t="s">
        <v>33</v>
      </c>
      <c r="D8" s="11" t="s">
        <v>34</v>
      </c>
      <c r="E8" s="13">
        <v>21656</v>
      </c>
      <c r="F8" s="14">
        <v>46205</v>
      </c>
      <c r="G8" s="11">
        <v>11</v>
      </c>
    </row>
    <row r="9" spans="1:10" ht="15.6" thickTop="1" thickBot="1" x14ac:dyDescent="0.35">
      <c r="A9" s="11">
        <v>101</v>
      </c>
      <c r="B9" s="12" t="s">
        <v>17</v>
      </c>
      <c r="C9" s="11" t="s">
        <v>33</v>
      </c>
      <c r="D9" s="11" t="s">
        <v>34</v>
      </c>
      <c r="E9" s="13">
        <v>95562</v>
      </c>
      <c r="F9" s="14">
        <v>46206</v>
      </c>
      <c r="G9" s="11">
        <v>45</v>
      </c>
    </row>
    <row r="10" spans="1:10" ht="15.6" thickTop="1" thickBot="1" x14ac:dyDescent="0.35">
      <c r="A10" s="11">
        <v>101</v>
      </c>
      <c r="B10" s="12" t="s">
        <v>18</v>
      </c>
      <c r="C10" s="11" t="s">
        <v>33</v>
      </c>
      <c r="D10" s="11" t="s">
        <v>34</v>
      </c>
      <c r="E10" s="13">
        <v>84124</v>
      </c>
      <c r="F10" s="14">
        <v>46207</v>
      </c>
      <c r="G10" s="11">
        <v>23</v>
      </c>
    </row>
    <row r="11" spans="1:10" ht="15" thickTop="1" x14ac:dyDescent="0.3"/>
    <row r="13" spans="1:10" ht="15" thickBot="1" x14ac:dyDescent="0.35"/>
    <row r="14" spans="1:10" ht="15.6" thickTop="1" thickBot="1" x14ac:dyDescent="0.35">
      <c r="B14" s="15" t="s">
        <v>35</v>
      </c>
      <c r="C14" s="15" t="s">
        <v>36</v>
      </c>
    </row>
    <row r="15" spans="1:10" ht="15.6" thickTop="1" thickBot="1" x14ac:dyDescent="0.35">
      <c r="B15" s="11">
        <f>E2*G2/100</f>
        <v>8645.6</v>
      </c>
      <c r="C15" s="12">
        <f>E2-B15</f>
        <v>77810.399999999994</v>
      </c>
    </row>
    <row r="16" spans="1:10" ht="15.6" thickTop="1" thickBot="1" x14ac:dyDescent="0.35">
      <c r="B16" s="11">
        <f>E3*G3/100</f>
        <v>4239.3599999999997</v>
      </c>
      <c r="C16" s="12">
        <f>E3-B16</f>
        <v>66416.639999999999</v>
      </c>
    </row>
    <row r="17" spans="2:3" ht="15.6" thickTop="1" thickBot="1" x14ac:dyDescent="0.35">
      <c r="B17" s="11">
        <f>E4*G4/100</f>
        <v>3427.68</v>
      </c>
      <c r="C17" s="12">
        <f>E4-B17</f>
        <v>82264.320000000007</v>
      </c>
    </row>
    <row r="18" spans="2:3" ht="15.6" thickTop="1" thickBot="1" x14ac:dyDescent="0.35">
      <c r="B18" s="11">
        <f>E5*G5/100</f>
        <v>2732.75</v>
      </c>
      <c r="C18" s="12">
        <f>E5-B18</f>
        <v>51922.25</v>
      </c>
    </row>
    <row r="19" spans="2:3" ht="15.6" thickTop="1" thickBot="1" x14ac:dyDescent="0.35">
      <c r="B19" s="11">
        <f>E6*G6/100</f>
        <v>5906.25</v>
      </c>
      <c r="C19" s="12">
        <f>E6-B19</f>
        <v>59718.75</v>
      </c>
    </row>
    <row r="20" spans="2:3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Radhey Krishna Yadav</dc:creator>
  <cp:lastModifiedBy>Radhey Krishna Yadav</cp:lastModifiedBy>
  <dcterms:created xsi:type="dcterms:W3CDTF">2026-06-26T10:49:37Z</dcterms:created>
  <dcterms:modified xsi:type="dcterms:W3CDTF">2026-06-26T12:28:27Z</dcterms:modified>
</cp:coreProperties>
</file>